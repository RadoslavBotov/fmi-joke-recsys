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ФМИ Магистър\Семестър 2\Дълбоко Самообучение\project_svd\"/>
    </mc:Choice>
  </mc:AlternateContent>
  <xr:revisionPtr revIDLastSave="0" documentId="13_ncr:1_{BCB2DFDF-F19A-4080-8C1F-C6436414C39D}" xr6:coauthVersionLast="47" xr6:coauthVersionMax="47" xr10:uidLastSave="{00000000-0000-0000-0000-000000000000}"/>
  <bookViews>
    <workbookView xWindow="-108" yWindow="-108" windowWidth="23256" windowHeight="12456" xr2:uid="{4520116D-0A8E-45FA-BACE-09F35A60D397}"/>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0" i="1" l="1"/>
  <c r="E9" i="1"/>
  <c r="E7" i="1"/>
  <c r="E6" i="1"/>
  <c r="M12" i="1"/>
  <c r="M7" i="1"/>
  <c r="M6" i="1"/>
  <c r="M10" i="1"/>
  <c r="M9" i="1"/>
  <c r="I12" i="1"/>
  <c r="I7" i="1"/>
  <c r="I6" i="1"/>
  <c r="I10" i="1"/>
  <c r="I9" i="1"/>
  <c r="E12" i="1"/>
</calcChain>
</file>

<file path=xl/sharedStrings.xml><?xml version="1.0" encoding="utf-8"?>
<sst xmlns="http://schemas.openxmlformats.org/spreadsheetml/2006/main" count="47" uniqueCount="35">
  <si>
    <t>Model</t>
  </si>
  <si>
    <t>RMSE</t>
  </si>
  <si>
    <t>MAE</t>
  </si>
  <si>
    <t>TF-IDF</t>
  </si>
  <si>
    <t>BOW</t>
  </si>
  <si>
    <t>Comments</t>
  </si>
  <si>
    <t>NormalPredictor</t>
  </si>
  <si>
    <t>SVD</t>
  </si>
  <si>
    <t>KNNBasic</t>
  </si>
  <si>
    <t>dense</t>
  </si>
  <si>
    <t>sparce</t>
  </si>
  <si>
    <t>comb</t>
  </si>
  <si>
    <t>MRR</t>
  </si>
  <si>
    <t>Content-Based Recommender Systems</t>
  </si>
  <si>
    <t>Collaborative-Based  Recommender Systems</t>
  </si>
  <si>
    <t>Deep Neural  Recommender Systems</t>
  </si>
  <si>
    <t>RecommenderNet</t>
  </si>
  <si>
    <t>Percentage</t>
  </si>
  <si>
    <t>Increase</t>
  </si>
  <si>
    <t>We look at the min values for RMSE and MAE and the max values for MRR. Percentage increase takes NormalPredictor as baseline and calculate based on the average of the three datasets in the respective metric.</t>
  </si>
  <si>
    <t>Baseline model; "random rating based on the distribution of the training set, which is assumed to be normal"</t>
  </si>
  <si>
    <t>TF-IDF and BOW perform 2nd best on the RMSE and MAE metrics and 3rd on MRR. BOW is just a little bit better than TF-IDF.</t>
  </si>
  <si>
    <t>RecommenderNet takes 3rd place on RMSE and MAE but 2nd on MRR. While it performce worse than TF-IDF and BOW on rating prediction it does better than them for joke recommendations.  The underperfomance might be due to low epochs (only 100) or the design architecture.</t>
  </si>
  <si>
    <t>SVD and KNNBasic tie for best model</t>
  </si>
  <si>
    <t>sparse</t>
  </si>
  <si>
    <t>combined</t>
  </si>
  <si>
    <t>Train set</t>
  </si>
  <si>
    <t>RecommenderNet loss:</t>
  </si>
  <si>
    <t>SVD and KNNBasic are tied for best modesl across all metrics. SVD is better on the dense and sparce dataset, while KNNBasic performce better on the combined dataset. However, the differences are pretty small.</t>
  </si>
  <si>
    <t>Dataset</t>
  </si>
  <si>
    <t>Report Table. Overall results for Root Mean Squared Error, Mean Average Error and Mean Reciprocal Rank on the test sets constructed for each jester dataset (dense 75% ratings valid; sparce 25% ratings valid; combined is dense&amp;sparse) The best performing model for each dataset in each metric category is in bold.</t>
  </si>
  <si>
    <t>Test Loss</t>
  </si>
  <si>
    <t>Epoch 0</t>
  </si>
  <si>
    <t>Epoch 100</t>
  </si>
  <si>
    <t>Average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</si>
</sst>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Aptos Narrow"/>
      <family val="2"/>
      <charset val="204"/>
      <scheme val="minor"/>
    </font>
    <font>
      <b/>
      <sz val="11"/>
      <color theme="1"/>
      <name val="Aptos Narrow"/>
      <family val="2"/>
      <scheme val="minor"/>
    </font>
    <font>
      <sz val="11"/>
      <color theme="1"/>
      <name val="Aptos Narrow"/>
      <family val="2"/>
      <charset val="204"/>
      <scheme val="minor"/>
    </font>
    <font>
      <sz val="12"/>
      <color theme="1"/>
      <name val="Aptos Narrow"/>
      <family val="2"/>
      <scheme val="minor"/>
    </font>
    <font>
      <b/>
      <sz val="12"/>
      <color theme="1"/>
      <name val="Aptos Narrow"/>
      <family val="2"/>
      <scheme val="minor"/>
    </font>
    <font>
      <sz val="12"/>
      <color theme="1"/>
      <name val="Aptos Narrow"/>
      <family val="2"/>
      <charset val="204"/>
      <scheme val="minor"/>
    </font>
  </fonts>
  <fills count="3">
    <fill>
      <patternFill patternType="none"/>
    </fill>
    <fill>
      <patternFill patternType="gray125"/>
    </fill>
    <fill>
      <patternFill patternType="solid">
        <fgColor theme="0"/>
        <bgColor indexed="64"/>
      </patternFill>
    </fill>
  </fills>
  <borders count="17">
    <border>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2" fillId="0" borderId="0" applyFont="0" applyFill="0" applyBorder="0" applyAlignment="0" applyProtection="0"/>
  </cellStyleXfs>
  <cellXfs count="55">
    <xf numFmtId="0" fontId="0" fillId="0" borderId="0" xfId="0"/>
    <xf numFmtId="0" fontId="0" fillId="0" borderId="2" xfId="0" applyBorder="1"/>
    <xf numFmtId="164" fontId="0" fillId="2" borderId="1" xfId="0" applyNumberFormat="1" applyFill="1" applyBorder="1" applyAlignment="1">
      <alignment vertical="top"/>
    </xf>
    <xf numFmtId="164" fontId="0" fillId="2" borderId="3" xfId="0" applyNumberFormat="1" applyFill="1" applyBorder="1" applyAlignment="1">
      <alignment vertical="top"/>
    </xf>
    <xf numFmtId="164" fontId="1" fillId="2" borderId="1" xfId="0" applyNumberFormat="1" applyFont="1" applyFill="1" applyBorder="1" applyAlignment="1">
      <alignment vertical="top"/>
    </xf>
    <xf numFmtId="10" fontId="0" fillId="2" borderId="1" xfId="0" applyNumberFormat="1" applyFill="1" applyBorder="1" applyAlignment="1">
      <alignment horizontal="center" vertical="top"/>
    </xf>
    <xf numFmtId="10" fontId="0" fillId="2" borderId="1" xfId="1" applyNumberFormat="1" applyFont="1" applyFill="1" applyBorder="1" applyAlignment="1">
      <alignment horizontal="center" vertical="top"/>
    </xf>
    <xf numFmtId="10" fontId="0" fillId="2" borderId="5" xfId="1" applyNumberFormat="1" applyFont="1" applyFill="1" applyBorder="1" applyAlignment="1">
      <alignment horizontal="center" vertical="top"/>
    </xf>
    <xf numFmtId="0" fontId="3" fillId="2" borderId="1" xfId="0" applyFont="1" applyFill="1" applyBorder="1" applyAlignment="1">
      <alignment horizontal="center"/>
    </xf>
    <xf numFmtId="0" fontId="5" fillId="2" borderId="1" xfId="0" applyFont="1" applyFill="1" applyBorder="1" applyAlignment="1">
      <alignment vertical="top"/>
    </xf>
    <xf numFmtId="0" fontId="0" fillId="2" borderId="2" xfId="0" applyFill="1" applyBorder="1"/>
    <xf numFmtId="0" fontId="0" fillId="0" borderId="1" xfId="0" applyBorder="1"/>
    <xf numFmtId="0" fontId="0" fillId="0" borderId="3" xfId="0" applyBorder="1"/>
    <xf numFmtId="0" fontId="0" fillId="0" borderId="0" xfId="0" applyAlignment="1">
      <alignment vertical="center"/>
    </xf>
    <xf numFmtId="0" fontId="3" fillId="2" borderId="1" xfId="0" applyFont="1" applyFill="1" applyBorder="1" applyAlignment="1">
      <alignment horizontal="right"/>
    </xf>
    <xf numFmtId="0" fontId="0" fillId="2" borderId="11" xfId="0" applyFill="1" applyBorder="1"/>
    <xf numFmtId="0" fontId="0" fillId="0" borderId="1" xfId="0" applyBorder="1" applyAlignment="1">
      <alignment vertical="center"/>
    </xf>
    <xf numFmtId="0" fontId="0" fillId="0" borderId="4" xfId="0" applyBorder="1" applyAlignment="1">
      <alignment horizontal="center"/>
    </xf>
    <xf numFmtId="0" fontId="0" fillId="0" borderId="0" xfId="0" applyAlignment="1">
      <alignment horizontal="center"/>
    </xf>
    <xf numFmtId="0" fontId="1" fillId="2" borderId="7" xfId="0" applyFont="1" applyFill="1" applyBorder="1" applyAlignment="1">
      <alignment horizontal="center"/>
    </xf>
    <xf numFmtId="0" fontId="1" fillId="2" borderId="1" xfId="0" applyFont="1" applyFill="1" applyBorder="1" applyAlignment="1">
      <alignment horizontal="center"/>
    </xf>
    <xf numFmtId="0" fontId="0" fillId="2" borderId="8" xfId="0" applyFill="1" applyBorder="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1"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1" fillId="2" borderId="4" xfId="0" applyFont="1" applyFill="1" applyBorder="1" applyAlignment="1">
      <alignment horizontal="center" vertical="center"/>
    </xf>
    <xf numFmtId="0" fontId="0" fillId="2" borderId="6" xfId="0" applyFill="1" applyBorder="1" applyAlignment="1">
      <alignment horizontal="left" vertical="top" wrapText="1"/>
    </xf>
    <xf numFmtId="0" fontId="0" fillId="2" borderId="9" xfId="0" applyFill="1" applyBorder="1" applyAlignment="1">
      <alignment horizontal="left" vertical="top"/>
    </xf>
    <xf numFmtId="0" fontId="0" fillId="2" borderId="4" xfId="0" applyFill="1" applyBorder="1" applyAlignment="1">
      <alignment horizontal="left" vertical="top"/>
    </xf>
    <xf numFmtId="0" fontId="0" fillId="2" borderId="8" xfId="0" applyFill="1" applyBorder="1" applyAlignment="1">
      <alignment horizontal="left" vertical="top"/>
    </xf>
    <xf numFmtId="0" fontId="0" fillId="2" borderId="0" xfId="0" applyFill="1" applyAlignment="1">
      <alignment horizontal="left" vertical="top"/>
    </xf>
    <xf numFmtId="0" fontId="5" fillId="2" borderId="3" xfId="0" applyFont="1" applyFill="1" applyBorder="1" applyAlignment="1">
      <alignment vertical="top"/>
    </xf>
    <xf numFmtId="10" fontId="0" fillId="2" borderId="3" xfId="0" applyNumberFormat="1" applyFill="1" applyBorder="1" applyAlignment="1">
      <alignment horizontal="center" vertical="top"/>
    </xf>
    <xf numFmtId="10" fontId="0" fillId="2" borderId="3" xfId="1" applyNumberFormat="1" applyFont="1" applyFill="1" applyBorder="1" applyAlignment="1">
      <alignment horizontal="center" vertical="top"/>
    </xf>
    <xf numFmtId="10" fontId="0" fillId="2" borderId="12" xfId="1" applyNumberFormat="1" applyFont="1" applyFill="1" applyBorder="1" applyAlignment="1">
      <alignment horizontal="center" vertical="top"/>
    </xf>
    <xf numFmtId="0" fontId="0" fillId="2" borderId="2" xfId="0" applyFill="1" applyBorder="1" applyAlignment="1">
      <alignment horizontal="left"/>
    </xf>
    <xf numFmtId="0" fontId="3" fillId="2" borderId="6" xfId="0" applyFont="1" applyFill="1" applyBorder="1"/>
    <xf numFmtId="0" fontId="4" fillId="2" borderId="6" xfId="0" applyFont="1" applyFill="1" applyBorder="1" applyAlignment="1">
      <alignment horizontal="center"/>
    </xf>
    <xf numFmtId="0" fontId="3" fillId="2" borderId="6" xfId="0" applyFont="1" applyFill="1" applyBorder="1" applyAlignment="1">
      <alignment horizontal="center"/>
    </xf>
    <xf numFmtId="0" fontId="3" fillId="2" borderId="13" xfId="0" applyFont="1" applyFill="1" applyBorder="1" applyAlignment="1">
      <alignment horizontal="center"/>
    </xf>
    <xf numFmtId="0" fontId="3" fillId="2" borderId="5" xfId="0" applyFont="1" applyFill="1" applyBorder="1" applyAlignment="1">
      <alignment horizontal="center"/>
    </xf>
    <xf numFmtId="0" fontId="1" fillId="2" borderId="14" xfId="0" applyFont="1" applyFill="1" applyBorder="1" applyAlignment="1">
      <alignment horizontal="center" vertical="center"/>
    </xf>
    <xf numFmtId="0" fontId="5" fillId="2" borderId="11" xfId="0" applyFont="1" applyFill="1" applyBorder="1" applyAlignment="1">
      <alignment vertical="top"/>
    </xf>
    <xf numFmtId="164" fontId="0" fillId="2" borderId="11" xfId="0" applyNumberFormat="1" applyFill="1" applyBorder="1" applyAlignment="1">
      <alignment vertical="top"/>
    </xf>
    <xf numFmtId="10" fontId="0" fillId="2" borderId="11" xfId="0" applyNumberFormat="1" applyFill="1" applyBorder="1" applyAlignment="1">
      <alignment horizontal="center" vertical="top"/>
    </xf>
    <xf numFmtId="10" fontId="0" fillId="2" borderId="15" xfId="0" applyNumberFormat="1" applyFill="1" applyBorder="1" applyAlignment="1">
      <alignment horizontal="center" vertical="top"/>
    </xf>
    <xf numFmtId="0" fontId="5" fillId="2" borderId="0" xfId="0" applyFont="1" applyFill="1" applyBorder="1" applyAlignment="1">
      <alignment vertical="top"/>
    </xf>
    <xf numFmtId="164" fontId="0" fillId="2" borderId="0" xfId="0" applyNumberFormat="1" applyFill="1" applyBorder="1" applyAlignment="1">
      <alignment vertical="top"/>
    </xf>
    <xf numFmtId="10" fontId="0" fillId="2" borderId="0" xfId="1" applyNumberFormat="1" applyFont="1" applyFill="1" applyBorder="1" applyAlignment="1">
      <alignment horizontal="center" vertical="top"/>
    </xf>
    <xf numFmtId="10" fontId="0" fillId="2" borderId="16" xfId="1" applyNumberFormat="1" applyFont="1" applyFill="1" applyBorder="1" applyAlignment="1">
      <alignment horizontal="center" vertical="top"/>
    </xf>
    <xf numFmtId="164" fontId="1" fillId="2" borderId="11" xfId="0" applyNumberFormat="1" applyFont="1" applyFill="1" applyBorder="1" applyAlignment="1">
      <alignment vertical="top"/>
    </xf>
    <xf numFmtId="10" fontId="0" fillId="2" borderId="11" xfId="1" applyNumberFormat="1" applyFont="1" applyFill="1" applyBorder="1" applyAlignment="1">
      <alignment horizontal="center" vertical="top"/>
    </xf>
    <xf numFmtId="10" fontId="0" fillId="2" borderId="15" xfId="1" applyNumberFormat="1" applyFont="1" applyFill="1" applyBorder="1" applyAlignment="1">
      <alignment horizontal="center" vertical="top"/>
    </xf>
  </cellXfs>
  <cellStyles count="2">
    <cellStyle name="Нормален" xfId="0" builtinId="0"/>
    <cellStyle name="Процент"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22860</xdr:rowOff>
    </xdr:from>
    <xdr:to>
      <xdr:col>15</xdr:col>
      <xdr:colOff>398145</xdr:colOff>
      <xdr:row>47</xdr:row>
      <xdr:rowOff>87630</xdr:rowOff>
    </xdr:to>
    <xdr:pic>
      <xdr:nvPicPr>
        <xdr:cNvPr id="6" name="Картина 5">
          <a:extLst>
            <a:ext uri="{FF2B5EF4-FFF2-40B4-BE49-F238E27FC236}">
              <a16:creationId xmlns:a16="http://schemas.microsoft.com/office/drawing/2014/main" id="{BE0A0E48-17CB-E216-76B6-6866C1BA403E}"/>
            </a:ext>
          </a:extLst>
        </xdr:cNvPr>
        <xdr:cNvPicPr>
          <a:picLocks noChangeAspect="1"/>
        </xdr:cNvPicPr>
      </xdr:nvPicPr>
      <xdr:blipFill>
        <a:blip xmlns:r="http://schemas.openxmlformats.org/officeDocument/2006/relationships" r:embed="rId1"/>
        <a:stretch>
          <a:fillRect/>
        </a:stretch>
      </xdr:blipFill>
      <xdr:spPr>
        <a:xfrm>
          <a:off x="0" y="3779520"/>
          <a:ext cx="9496425" cy="5200650"/>
        </a:xfrm>
        <a:prstGeom prst="rect">
          <a:avLst/>
        </a:prstGeom>
      </xdr:spPr>
    </xdr:pic>
    <xdr:clientData/>
  </xdr:twoCellAnchor>
</xdr:wsDr>
</file>

<file path=xl/theme/theme1.xml><?xml version="1.0" encoding="utf-8"?>
<a:theme xmlns:a="http://schemas.openxmlformats.org/drawingml/2006/main" name="Тема на Office">
  <a:themeElements>
    <a:clrScheme name="О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9573-08C4-4886-8D39-29EC9805F3F9}">
  <dimension ref="A1:W27"/>
  <sheetViews>
    <sheetView tabSelected="1" topLeftCell="A3" workbookViewId="0">
      <selection activeCell="R22" sqref="R22:U27"/>
    </sheetView>
  </sheetViews>
  <sheetFormatPr defaultRowHeight="14.4" x14ac:dyDescent="0.3"/>
  <cols>
    <col min="1" max="1" width="17.77734375" customWidth="1"/>
    <col min="2" max="4" width="6.5546875" bestFit="1" customWidth="1"/>
    <col min="5" max="5" width="12" customWidth="1"/>
    <col min="6" max="8" width="6.5546875" bestFit="1" customWidth="1"/>
    <col min="9" max="9" width="12" customWidth="1"/>
    <col min="10" max="12" width="6.5546875" bestFit="1" customWidth="1"/>
    <col min="13" max="13" width="12" customWidth="1"/>
    <col min="14" max="14" width="11" customWidth="1"/>
    <col min="18" max="18" width="11.44140625" bestFit="1" customWidth="1"/>
  </cols>
  <sheetData>
    <row r="1" spans="1:23" ht="15" thickBot="1" x14ac:dyDescent="0.35">
      <c r="A1" s="37" t="s">
        <v>23</v>
      </c>
      <c r="B1" s="37"/>
      <c r="C1" s="37"/>
      <c r="D1" s="10"/>
      <c r="E1" s="10"/>
      <c r="F1" s="10"/>
      <c r="G1" s="10"/>
      <c r="H1" s="10"/>
      <c r="I1" s="10"/>
      <c r="J1" s="10"/>
      <c r="K1" s="10"/>
      <c r="L1" s="10"/>
      <c r="M1" s="10"/>
      <c r="N1" s="10"/>
      <c r="O1" s="10"/>
      <c r="P1" s="10"/>
      <c r="Q1" s="10"/>
      <c r="R1" s="10"/>
      <c r="S1" s="10"/>
      <c r="T1" s="10"/>
      <c r="U1" s="10"/>
      <c r="V1" s="10"/>
      <c r="W1" s="10"/>
    </row>
    <row r="2" spans="1:23" ht="15.6" x14ac:dyDescent="0.3">
      <c r="A2" s="38" t="s">
        <v>0</v>
      </c>
      <c r="B2" s="39" t="s">
        <v>1</v>
      </c>
      <c r="C2" s="39"/>
      <c r="D2" s="39"/>
      <c r="E2" s="40" t="s">
        <v>17</v>
      </c>
      <c r="F2" s="39" t="s">
        <v>2</v>
      </c>
      <c r="G2" s="39"/>
      <c r="H2" s="39"/>
      <c r="I2" s="40" t="s">
        <v>17</v>
      </c>
      <c r="J2" s="39" t="s">
        <v>12</v>
      </c>
      <c r="K2" s="39"/>
      <c r="L2" s="39"/>
      <c r="M2" s="41" t="s">
        <v>17</v>
      </c>
      <c r="N2" s="19" t="s">
        <v>5</v>
      </c>
      <c r="O2" s="20"/>
      <c r="P2" s="20"/>
      <c r="Q2" s="20"/>
      <c r="R2" s="20"/>
      <c r="S2" s="20"/>
      <c r="T2" s="20"/>
      <c r="U2" s="20"/>
      <c r="V2" s="20"/>
      <c r="W2" s="20"/>
    </row>
    <row r="3" spans="1:23" ht="15.6" x14ac:dyDescent="0.3">
      <c r="A3" s="14" t="s">
        <v>29</v>
      </c>
      <c r="B3" s="8" t="s">
        <v>9</v>
      </c>
      <c r="C3" s="8" t="s">
        <v>10</v>
      </c>
      <c r="D3" s="8" t="s">
        <v>11</v>
      </c>
      <c r="E3" s="8" t="s">
        <v>18</v>
      </c>
      <c r="F3" s="8" t="s">
        <v>9</v>
      </c>
      <c r="G3" s="8" t="s">
        <v>10</v>
      </c>
      <c r="H3" s="8" t="s">
        <v>11</v>
      </c>
      <c r="I3" s="8" t="s">
        <v>18</v>
      </c>
      <c r="J3" s="8" t="s">
        <v>9</v>
      </c>
      <c r="K3" s="8" t="s">
        <v>10</v>
      </c>
      <c r="L3" s="8" t="s">
        <v>11</v>
      </c>
      <c r="M3" s="42" t="s">
        <v>18</v>
      </c>
      <c r="N3" s="21" t="s">
        <v>19</v>
      </c>
      <c r="O3" s="22"/>
      <c r="P3" s="22"/>
      <c r="Q3" s="22"/>
      <c r="R3" s="22"/>
      <c r="S3" s="22"/>
      <c r="T3" s="22"/>
      <c r="U3" s="22"/>
      <c r="V3" s="22"/>
      <c r="W3" s="22"/>
    </row>
    <row r="4" spans="1:23" ht="18" customHeight="1" x14ac:dyDescent="0.3">
      <c r="A4" s="27" t="s">
        <v>13</v>
      </c>
      <c r="B4" s="27"/>
      <c r="C4" s="27"/>
      <c r="D4" s="27"/>
      <c r="E4" s="27"/>
      <c r="F4" s="27"/>
      <c r="G4" s="27"/>
      <c r="H4" s="27"/>
      <c r="I4" s="27"/>
      <c r="J4" s="27"/>
      <c r="K4" s="27"/>
      <c r="L4" s="27"/>
      <c r="M4" s="43"/>
      <c r="N4" s="23"/>
      <c r="O4" s="24"/>
      <c r="P4" s="24"/>
      <c r="Q4" s="24"/>
      <c r="R4" s="24"/>
      <c r="S4" s="24"/>
      <c r="T4" s="24"/>
      <c r="U4" s="24"/>
      <c r="V4" s="24"/>
      <c r="W4" s="24"/>
    </row>
    <row r="5" spans="1:23" ht="15.6" customHeight="1" x14ac:dyDescent="0.3">
      <c r="A5" s="44" t="s">
        <v>6</v>
      </c>
      <c r="B5" s="45">
        <v>7.2568000000000001</v>
      </c>
      <c r="C5" s="45">
        <v>7.4440999999999997</v>
      </c>
      <c r="D5" s="45">
        <v>7.2862999999999998</v>
      </c>
      <c r="E5" s="46">
        <v>1</v>
      </c>
      <c r="F5" s="45">
        <v>5.8887</v>
      </c>
      <c r="G5" s="45">
        <v>6.0686</v>
      </c>
      <c r="H5" s="45">
        <v>5.9192</v>
      </c>
      <c r="I5" s="46">
        <v>1</v>
      </c>
      <c r="J5" s="45">
        <v>0.69979999999999998</v>
      </c>
      <c r="K5" s="45">
        <v>0.57799999999999996</v>
      </c>
      <c r="L5" s="45">
        <v>0.65959999999999996</v>
      </c>
      <c r="M5" s="47">
        <v>1</v>
      </c>
      <c r="N5" s="31" t="s">
        <v>20</v>
      </c>
      <c r="O5" s="32"/>
      <c r="P5" s="32"/>
      <c r="Q5" s="32"/>
      <c r="R5" s="32"/>
      <c r="S5" s="32"/>
      <c r="T5" s="32"/>
      <c r="U5" s="32"/>
      <c r="V5" s="32"/>
      <c r="W5" s="32"/>
    </row>
    <row r="6" spans="1:23" ht="15.6" customHeight="1" x14ac:dyDescent="0.3">
      <c r="A6" s="48" t="s">
        <v>3</v>
      </c>
      <c r="B6" s="49">
        <v>4.7942999999999998</v>
      </c>
      <c r="C6" s="49">
        <v>5.1829999999999998</v>
      </c>
      <c r="D6" s="49">
        <v>4.9287999999999998</v>
      </c>
      <c r="E6" s="50">
        <f>AVERAGE(B$5:D$5) / AVERAGE(B6:D6)</f>
        <v>1.4750471283568474</v>
      </c>
      <c r="F6" s="49">
        <v>3.8090999999999999</v>
      </c>
      <c r="G6" s="49">
        <v>4.0869</v>
      </c>
      <c r="H6" s="49">
        <v>3.9316</v>
      </c>
      <c r="I6" s="50">
        <f>AVERAGE(F$5:H$5) / AVERAGE(F6:H6)</f>
        <v>1.5114224356589672</v>
      </c>
      <c r="J6" s="49">
        <v>0.71479999999999999</v>
      </c>
      <c r="K6" s="49">
        <v>0.65620000000000001</v>
      </c>
      <c r="L6" s="49">
        <v>0.68479999999999996</v>
      </c>
      <c r="M6" s="51">
        <f>AVERAGE(J6:L6) / AVERAGE(J$5:L$5)</f>
        <v>1.0611128316300196</v>
      </c>
      <c r="N6" s="21" t="s">
        <v>21</v>
      </c>
      <c r="O6" s="22"/>
      <c r="P6" s="22"/>
      <c r="Q6" s="22"/>
      <c r="R6" s="22"/>
      <c r="S6" s="22"/>
      <c r="T6" s="22"/>
      <c r="U6" s="22"/>
      <c r="V6" s="22"/>
      <c r="W6" s="22"/>
    </row>
    <row r="7" spans="1:23" ht="15.6" x14ac:dyDescent="0.3">
      <c r="A7" s="9" t="s">
        <v>4</v>
      </c>
      <c r="B7" s="2">
        <v>4.7797999999999998</v>
      </c>
      <c r="C7" s="2">
        <v>5.1509</v>
      </c>
      <c r="D7" s="2">
        <v>4.9107000000000003</v>
      </c>
      <c r="E7" s="5">
        <f>AVERAGE(B$5:D$5) / AVERAGE(B7:D7)</f>
        <v>1.4814774886466238</v>
      </c>
      <c r="F7" s="2">
        <v>3.8018999999999998</v>
      </c>
      <c r="G7" s="2">
        <v>4.0690999999999997</v>
      </c>
      <c r="H7" s="2">
        <v>3.9228999999999998</v>
      </c>
      <c r="I7" s="6">
        <f>AVERAGE(F$5:H$5) / AVERAGE(F7:H7)</f>
        <v>1.5157411882413792</v>
      </c>
      <c r="J7" s="2">
        <v>0.71160000000000001</v>
      </c>
      <c r="K7" s="2">
        <v>0.65310000000000001</v>
      </c>
      <c r="L7" s="2">
        <v>0.68459999999999999</v>
      </c>
      <c r="M7" s="7">
        <f>AVERAGE(J7:L7) / AVERAGE(J$5:L$5)</f>
        <v>1.0577578197584392</v>
      </c>
      <c r="N7" s="23"/>
      <c r="O7" s="24"/>
      <c r="P7" s="24"/>
      <c r="Q7" s="24"/>
      <c r="R7" s="24"/>
      <c r="S7" s="24"/>
      <c r="T7" s="24"/>
      <c r="U7" s="24"/>
      <c r="V7" s="24"/>
      <c r="W7" s="24"/>
    </row>
    <row r="8" spans="1:23" ht="18" customHeight="1" x14ac:dyDescent="0.3">
      <c r="A8" s="27" t="s">
        <v>14</v>
      </c>
      <c r="B8" s="27"/>
      <c r="C8" s="27"/>
      <c r="D8" s="27"/>
      <c r="E8" s="27"/>
      <c r="F8" s="27"/>
      <c r="G8" s="27"/>
      <c r="H8" s="27"/>
      <c r="I8" s="27"/>
      <c r="J8" s="27"/>
      <c r="K8" s="27"/>
      <c r="L8" s="27"/>
      <c r="M8" s="43"/>
      <c r="N8" s="29"/>
      <c r="O8" s="30"/>
      <c r="P8" s="30"/>
      <c r="Q8" s="30"/>
      <c r="R8" s="30"/>
      <c r="S8" s="30"/>
      <c r="T8" s="30"/>
      <c r="U8" s="30"/>
      <c r="V8" s="30"/>
      <c r="W8" s="30"/>
    </row>
    <row r="9" spans="1:23" ht="15.6" customHeight="1" x14ac:dyDescent="0.3">
      <c r="A9" s="44" t="s">
        <v>7</v>
      </c>
      <c r="B9" s="45">
        <v>4.3037999999999998</v>
      </c>
      <c r="C9" s="52">
        <v>4.4217000000000004</v>
      </c>
      <c r="D9" s="45">
        <v>4.4789000000000003</v>
      </c>
      <c r="E9" s="53">
        <f>AVERAGE(B$5:D$5) / AVERAGE(B9:D9)</f>
        <v>1.6651419223895065</v>
      </c>
      <c r="F9" s="52">
        <v>3.3106</v>
      </c>
      <c r="G9" s="52">
        <v>3.5148000000000001</v>
      </c>
      <c r="H9" s="45">
        <v>3.4419</v>
      </c>
      <c r="I9" s="53">
        <f>AVERAGE(F$5:H$5) / AVERAGE(F9:H9)</f>
        <v>1.7411101263233761</v>
      </c>
      <c r="J9" s="52">
        <v>0.86899999999999999</v>
      </c>
      <c r="K9" s="52">
        <v>0.73970000000000002</v>
      </c>
      <c r="L9" s="45">
        <v>0.81420000000000003</v>
      </c>
      <c r="M9" s="54">
        <f>AVERAGE(J9:L9) / AVERAGE(J$5:L$5)</f>
        <v>1.2505935790234335</v>
      </c>
      <c r="N9" s="21" t="s">
        <v>28</v>
      </c>
      <c r="O9" s="22"/>
      <c r="P9" s="22"/>
      <c r="Q9" s="22"/>
      <c r="R9" s="22"/>
      <c r="S9" s="22"/>
      <c r="T9" s="22"/>
      <c r="U9" s="22"/>
      <c r="V9" s="22"/>
      <c r="W9" s="22"/>
    </row>
    <row r="10" spans="1:23" ht="15.6" customHeight="1" x14ac:dyDescent="0.3">
      <c r="A10" s="9" t="s">
        <v>8</v>
      </c>
      <c r="B10" s="4">
        <v>4.2782999999999998</v>
      </c>
      <c r="C10" s="2">
        <v>4.4931999999999999</v>
      </c>
      <c r="D10" s="4">
        <v>4.3122999999999996</v>
      </c>
      <c r="E10" s="6">
        <f>AVERAGE(B$5:D$5) / AVERAGE(B10:D10)</f>
        <v>1.6804903774132898</v>
      </c>
      <c r="F10" s="2">
        <v>3.3546</v>
      </c>
      <c r="G10" s="2">
        <v>3.5445000000000002</v>
      </c>
      <c r="H10" s="4">
        <v>3.3834</v>
      </c>
      <c r="I10" s="6">
        <f>AVERAGE(F$5:H$5) / AVERAGE(F10:H10)</f>
        <v>1.738536348164357</v>
      </c>
      <c r="J10" s="2">
        <v>0.86819999999999997</v>
      </c>
      <c r="K10" s="2">
        <v>0.71289999999999998</v>
      </c>
      <c r="L10" s="4">
        <v>0.81920000000000004</v>
      </c>
      <c r="M10" s="7">
        <f>AVERAGE(J10:L10) / AVERAGE(J$5:L$5)</f>
        <v>1.2389284608237845</v>
      </c>
      <c r="N10" s="23"/>
      <c r="O10" s="24"/>
      <c r="P10" s="24"/>
      <c r="Q10" s="24"/>
      <c r="R10" s="24"/>
      <c r="S10" s="24"/>
      <c r="T10" s="24"/>
      <c r="U10" s="24"/>
      <c r="V10" s="24"/>
      <c r="W10" s="24"/>
    </row>
    <row r="11" spans="1:23" ht="18" customHeight="1" x14ac:dyDescent="0.3">
      <c r="A11" s="27" t="s">
        <v>15</v>
      </c>
      <c r="B11" s="27"/>
      <c r="C11" s="27"/>
      <c r="D11" s="27"/>
      <c r="E11" s="27"/>
      <c r="F11" s="27"/>
      <c r="G11" s="27"/>
      <c r="H11" s="27"/>
      <c r="I11" s="27"/>
      <c r="J11" s="27"/>
      <c r="K11" s="27"/>
      <c r="L11" s="27"/>
      <c r="M11" s="43"/>
      <c r="N11" s="25" t="s">
        <v>22</v>
      </c>
      <c r="O11" s="26"/>
      <c r="P11" s="26"/>
      <c r="Q11" s="26"/>
      <c r="R11" s="26"/>
      <c r="S11" s="26"/>
      <c r="T11" s="26"/>
      <c r="U11" s="26"/>
      <c r="V11" s="26"/>
      <c r="W11" s="26"/>
    </row>
    <row r="12" spans="1:23" ht="15.6" customHeight="1" thickBot="1" x14ac:dyDescent="0.35">
      <c r="A12" s="33" t="s">
        <v>16</v>
      </c>
      <c r="B12" s="3">
        <v>5.4153000000000002</v>
      </c>
      <c r="C12" s="3">
        <v>5.3875000000000002</v>
      </c>
      <c r="D12" s="3">
        <v>5.4611000000000001</v>
      </c>
      <c r="E12" s="34">
        <f>AVERAGE(B$5:D$5) / AVERAGE(B12:D12)</f>
        <v>1.3519020653102887</v>
      </c>
      <c r="F12" s="3">
        <v>4.0842000000000001</v>
      </c>
      <c r="G12" s="3">
        <v>4.13</v>
      </c>
      <c r="H12" s="3">
        <v>4.1077000000000004</v>
      </c>
      <c r="I12" s="35">
        <f>AVERAGE(F$5:H$5) / AVERAGE(F12:H12)</f>
        <v>1.4507908682914163</v>
      </c>
      <c r="J12" s="3">
        <v>0.81279999999999997</v>
      </c>
      <c r="K12" s="3">
        <v>0.70940000000000003</v>
      </c>
      <c r="L12" s="3">
        <v>0.77739999999999998</v>
      </c>
      <c r="M12" s="36">
        <f>AVERAGE(J12:L12) / AVERAGE(J$5:L$5)</f>
        <v>1.1869515845979146</v>
      </c>
      <c r="N12" s="21"/>
      <c r="O12" s="22"/>
      <c r="P12" s="22"/>
      <c r="Q12" s="22"/>
      <c r="R12" s="22"/>
      <c r="S12" s="22"/>
      <c r="T12" s="22"/>
      <c r="U12" s="22"/>
      <c r="V12" s="22"/>
      <c r="W12" s="22"/>
    </row>
    <row r="13" spans="1:23" ht="14.4" customHeight="1" x14ac:dyDescent="0.3">
      <c r="A13" s="28" t="s">
        <v>30</v>
      </c>
      <c r="B13" s="28"/>
      <c r="C13" s="28"/>
      <c r="D13" s="28"/>
      <c r="E13" s="28"/>
      <c r="F13" s="28"/>
      <c r="G13" s="28"/>
      <c r="H13" s="28"/>
      <c r="I13" s="28"/>
      <c r="J13" s="28"/>
      <c r="K13" s="28"/>
      <c r="L13" s="28"/>
      <c r="M13" s="28"/>
      <c r="N13" s="23"/>
      <c r="O13" s="24"/>
      <c r="P13" s="24"/>
      <c r="Q13" s="24"/>
      <c r="R13" s="24"/>
      <c r="S13" s="24"/>
      <c r="T13" s="24"/>
      <c r="U13" s="24"/>
      <c r="V13" s="24"/>
      <c r="W13" s="24"/>
    </row>
    <row r="14" spans="1:23" x14ac:dyDescent="0.3">
      <c r="A14" s="22"/>
      <c r="B14" s="22"/>
      <c r="C14" s="22"/>
      <c r="D14" s="22"/>
      <c r="E14" s="22"/>
      <c r="F14" s="22"/>
      <c r="G14" s="22"/>
      <c r="H14" s="22"/>
      <c r="I14" s="22"/>
      <c r="J14" s="22"/>
      <c r="K14" s="22"/>
      <c r="L14" s="22"/>
      <c r="M14" s="22"/>
    </row>
    <row r="15" spans="1:23" x14ac:dyDescent="0.3">
      <c r="A15" s="22"/>
      <c r="B15" s="22"/>
      <c r="C15" s="22"/>
      <c r="D15" s="22"/>
      <c r="E15" s="22"/>
      <c r="F15" s="22"/>
      <c r="G15" s="22"/>
      <c r="H15" s="22"/>
      <c r="I15" s="22"/>
      <c r="J15" s="22"/>
      <c r="K15" s="22"/>
      <c r="L15" s="22"/>
      <c r="M15" s="22"/>
    </row>
    <row r="16" spans="1:23" x14ac:dyDescent="0.3">
      <c r="A16" s="15" t="s">
        <v>23</v>
      </c>
      <c r="B16" s="15"/>
      <c r="C16" s="15"/>
    </row>
    <row r="19" spans="1:21" x14ac:dyDescent="0.3">
      <c r="A19" t="s">
        <v>27</v>
      </c>
    </row>
    <row r="21" spans="1:21" ht="15" thickBot="1" x14ac:dyDescent="0.35">
      <c r="R21" s="1"/>
      <c r="S21" s="1"/>
      <c r="T21" s="1"/>
      <c r="U21" s="1"/>
    </row>
    <row r="22" spans="1:21" x14ac:dyDescent="0.3">
      <c r="R22" s="11"/>
      <c r="S22" s="11" t="s">
        <v>9</v>
      </c>
      <c r="T22" s="11" t="s">
        <v>24</v>
      </c>
      <c r="U22" s="11" t="s">
        <v>25</v>
      </c>
    </row>
    <row r="23" spans="1:21" x14ac:dyDescent="0.3">
      <c r="R23" s="17" t="s">
        <v>26</v>
      </c>
      <c r="S23" s="17"/>
      <c r="T23" s="17"/>
      <c r="U23" s="17"/>
    </row>
    <row r="24" spans="1:21" x14ac:dyDescent="0.3">
      <c r="R24" t="s">
        <v>32</v>
      </c>
      <c r="S24" s="13">
        <v>29.069800000000001</v>
      </c>
      <c r="T24" s="13">
        <v>34.0488</v>
      </c>
      <c r="U24" s="13">
        <v>30.106100000000001</v>
      </c>
    </row>
    <row r="25" spans="1:21" x14ac:dyDescent="0.3">
      <c r="R25" s="11" t="s">
        <v>33</v>
      </c>
      <c r="S25" s="16">
        <v>1.4964999999999999</v>
      </c>
      <c r="T25" s="16">
        <v>0.44719999999999999</v>
      </c>
      <c r="U25" s="16">
        <v>1.5728</v>
      </c>
    </row>
    <row r="26" spans="1:21" x14ac:dyDescent="0.3">
      <c r="R26" s="18" t="s">
        <v>31</v>
      </c>
      <c r="S26" s="18"/>
      <c r="T26" s="18"/>
      <c r="U26" s="18"/>
    </row>
    <row r="27" spans="1:21" ht="15" thickBot="1" x14ac:dyDescent="0.35">
      <c r="R27" s="12" t="s">
        <v>34</v>
      </c>
      <c r="S27" s="12">
        <v>29.3261</v>
      </c>
      <c r="T27" s="12">
        <v>29.025700000000001</v>
      </c>
      <c r="U27" s="12">
        <v>29.823899999999998</v>
      </c>
    </row>
  </sheetData>
  <mergeCells count="17">
    <mergeCell ref="A11:M11"/>
    <mergeCell ref="R23:U23"/>
    <mergeCell ref="R26:U26"/>
    <mergeCell ref="A1:C1"/>
    <mergeCell ref="N2:W2"/>
    <mergeCell ref="N3:W4"/>
    <mergeCell ref="N9:W10"/>
    <mergeCell ref="N6:W7"/>
    <mergeCell ref="B2:D2"/>
    <mergeCell ref="F2:H2"/>
    <mergeCell ref="J2:L2"/>
    <mergeCell ref="N11:W13"/>
    <mergeCell ref="A4:M4"/>
    <mergeCell ref="A8:M8"/>
    <mergeCell ref="A13:M15"/>
    <mergeCell ref="N8:W8"/>
    <mergeCell ref="N5:W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radoslav botov</dc:creator>
  <cp:lastModifiedBy>radoslav botov</cp:lastModifiedBy>
  <dcterms:created xsi:type="dcterms:W3CDTF">2026-06-21T17:25:32Z</dcterms:created>
  <dcterms:modified xsi:type="dcterms:W3CDTF">2026-06-24T16:18:02Z</dcterms:modified>
</cp:coreProperties>
</file>